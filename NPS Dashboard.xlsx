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dc3c6cc6e234a7b6/Documents/"/>
    </mc:Choice>
  </mc:AlternateContent>
  <bookViews>
    <workbookView xWindow="0" yWindow="0" windowWidth="28800" windowHeight="12315"/>
  </bookViews>
  <sheets>
    <sheet name="NP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C7" i="1"/>
  <c r="B7" i="1"/>
  <c r="E2" i="1"/>
  <c r="G2" i="1" s="1"/>
  <c r="E3" i="1"/>
  <c r="F3" i="1" s="1"/>
  <c r="E4" i="1"/>
  <c r="F4" i="1" s="1"/>
  <c r="E5" i="1"/>
  <c r="F5" i="1" s="1"/>
  <c r="G3" i="1" l="1"/>
  <c r="G5" i="1"/>
  <c r="G4" i="1"/>
  <c r="F2" i="1"/>
  <c r="E7" i="1"/>
  <c r="F7" i="1" l="1"/>
  <c r="G9" i="1" s="1"/>
</calcChain>
</file>

<file path=xl/sharedStrings.xml><?xml version="1.0" encoding="utf-8"?>
<sst xmlns="http://schemas.openxmlformats.org/spreadsheetml/2006/main" count="17" uniqueCount="17">
  <si>
    <t>Promoters</t>
  </si>
  <si>
    <t>Detractors</t>
  </si>
  <si>
    <t>Agent Name</t>
  </si>
  <si>
    <t>Survey Count</t>
  </si>
  <si>
    <t>Passive</t>
  </si>
  <si>
    <t>Individual NPS Total</t>
  </si>
  <si>
    <t>Agent 1</t>
  </si>
  <si>
    <t>Agent 2</t>
  </si>
  <si>
    <t>Agent 3</t>
  </si>
  <si>
    <t>Agent 4</t>
  </si>
  <si>
    <t>Total Promoters</t>
  </si>
  <si>
    <t>Total Passive</t>
  </si>
  <si>
    <t>Total Detractors</t>
  </si>
  <si>
    <t>Total Survey Count</t>
  </si>
  <si>
    <t>Overall NPS Total</t>
  </si>
  <si>
    <t>Promoters Needed</t>
  </si>
  <si>
    <t>% to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</si>
</sst>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23">
    <xf numFmtId="0" fontId="0" fillId="0" borderId="0" xfId="0"/>
    <xf numFmtId="0" fontId="4" fillId="2" borderId="3" xfId="2" applyFont="1" applyBorder="1" applyAlignment="1">
      <alignment horizontal="center" vertical="center"/>
    </xf>
    <xf numFmtId="0" fontId="4" fillId="2" borderId="4" xfId="2" applyFont="1" applyBorder="1" applyAlignment="1">
      <alignment horizontal="center" vertical="center"/>
    </xf>
    <xf numFmtId="0" fontId="4" fillId="2" borderId="5" xfId="2" applyFont="1" applyBorder="1" applyAlignment="1">
      <alignment horizontal="center" vertical="center"/>
    </xf>
    <xf numFmtId="0" fontId="4" fillId="2" borderId="13" xfId="2" applyFont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0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0" fontId="3" fillId="3" borderId="10" xfId="0" applyNumberFormat="1" applyFont="1" applyFill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9" fontId="0" fillId="3" borderId="0" xfId="1" applyFont="1" applyFill="1" applyBorder="1" applyAlignment="1">
      <alignment horizontal="center" vertical="center"/>
    </xf>
    <xf numFmtId="0" fontId="0" fillId="3" borderId="0" xfId="1" applyNumberFormat="1" applyFont="1" applyFill="1" applyBorder="1" applyAlignment="1">
      <alignment horizontal="center" vertical="center"/>
    </xf>
    <xf numFmtId="0" fontId="0" fillId="3" borderId="0" xfId="0" applyNumberForma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0" fontId="3" fillId="3" borderId="12" xfId="1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3">
    <cellStyle name="Check Cell" xfId="2" builtinId="23"/>
    <cellStyle name="Normal" xfId="0" builtinId="0"/>
    <cellStyle name="Percent" xfId="1" builtinId="5"/>
  </cellStyles>
  <dxfs count="39"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5" totalsRowShown="0" headerRowDxfId="28" dataDxfId="27" headerRowBorderDxfId="36" tableBorderDxfId="37" totalsRowBorderDxfId="35" headerRowCellStyle="Check Cell">
  <autoFilter ref="A1:F5"/>
  <tableColumns count="6">
    <tableColumn id="1" name="Agent Name" dataDxfId="34"/>
    <tableColumn id="2" name="Promoters" dataDxfId="33"/>
    <tableColumn id="3" name="Passive" dataDxfId="32"/>
    <tableColumn id="4" name="Detractors" dataDxfId="31"/>
    <tableColumn id="5" name="Survey Count" dataDxfId="30">
      <calculatedColumnFormula>B2+C2+D2</calculatedColumnFormula>
    </tableColumn>
    <tableColumn id="6" name="Individual NPS Total" dataDxfId="29">
      <calculatedColumnFormula>IF(E2=0,"",(B2-D2)/E2)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6:F7" totalsRowShown="0" headerRowDxfId="26" dataDxfId="25" tableBorderDxfId="38" headerRowCellStyle="Check Cell">
  <autoFilter ref="B6:F7"/>
  <tableColumns count="5">
    <tableColumn id="1" name="Total Promoters" dataDxfId="4">
      <calculatedColumnFormula>SUM(B2:B5)</calculatedColumnFormula>
    </tableColumn>
    <tableColumn id="2" name="Total Passive" dataDxfId="3">
      <calculatedColumnFormula>SUM(C2:C5)</calculatedColumnFormula>
    </tableColumn>
    <tableColumn id="3" name="Total Detractors" dataDxfId="2">
      <calculatedColumnFormula>SUM(D2:D5)</calculatedColumnFormula>
    </tableColumn>
    <tableColumn id="4" name="Total Survey Count" dataDxfId="0">
      <calculatedColumnFormula>SUM(E2:E5)</calculatedColumnFormula>
    </tableColumn>
    <tableColumn id="5" name="Overall NPS Total" dataDxfId="1">
      <calculatedColumnFormula>IF(E7=0,"",(B7-D7)/E7)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G1:G5" totalsRowShown="0" headerRowDxfId="24" dataDxfId="23" headerRowCellStyle="Check Cell">
  <autoFilter ref="G1:G5"/>
  <tableColumns count="1">
    <tableColumn id="1" name="Promoters Needed" dataDxfId="22">
      <calculatedColumnFormula>IF(E2=0,"",IF((B2-D2)/E2&gt;=0.75,0,MAX(0,_xlfn.CEILING.MATH((0.75*E2 - B2 + D2)/0.25,1))))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5" sqref="C5"/>
    </sheetView>
  </sheetViews>
  <sheetFormatPr defaultRowHeight="15" x14ac:dyDescent="0.25"/>
  <cols>
    <col min="1" max="1" width="14.28515625" style="5" bestFit="1" customWidth="1"/>
    <col min="2" max="2" width="17.5703125" style="5" bestFit="1" customWidth="1"/>
    <col min="3" max="3" width="14.7109375" style="5" bestFit="1" customWidth="1"/>
    <col min="4" max="4" width="17.42578125" style="5" bestFit="1" customWidth="1"/>
    <col min="5" max="5" width="20.140625" style="5" bestFit="1" customWidth="1"/>
    <col min="6" max="6" width="21.28515625" style="13" bestFit="1" customWidth="1"/>
    <col min="7" max="7" width="20.42578125" style="13" bestFit="1" customWidth="1"/>
    <col min="8" max="8" width="12.28515625" style="13" bestFit="1" customWidth="1"/>
    <col min="9" max="9" width="11.140625" style="14" bestFit="1" customWidth="1"/>
    <col min="10" max="10" width="9.140625" style="15"/>
    <col min="11" max="16384" width="9.140625" style="5"/>
  </cols>
  <sheetData>
    <row r="1" spans="1:10" ht="16.5" thickTop="1" thickBot="1" x14ac:dyDescent="0.3">
      <c r="A1" s="1" t="s">
        <v>2</v>
      </c>
      <c r="B1" s="2" t="s">
        <v>0</v>
      </c>
      <c r="C1" s="2" t="s">
        <v>4</v>
      </c>
      <c r="D1" s="2" t="s">
        <v>1</v>
      </c>
      <c r="E1" s="2" t="s">
        <v>3</v>
      </c>
      <c r="F1" s="3" t="s">
        <v>5</v>
      </c>
      <c r="G1" s="4" t="s">
        <v>15</v>
      </c>
      <c r="H1" s="5"/>
      <c r="I1" s="5"/>
      <c r="J1" s="5"/>
    </row>
    <row r="2" spans="1:10" x14ac:dyDescent="0.25">
      <c r="A2" s="6" t="s">
        <v>6</v>
      </c>
      <c r="B2" s="7">
        <v>1</v>
      </c>
      <c r="C2" s="7"/>
      <c r="D2" s="7"/>
      <c r="E2" s="7">
        <f t="shared" ref="E2:E5" si="0">B2+C2+D2</f>
        <v>1</v>
      </c>
      <c r="F2" s="8">
        <f>IF(E2=0,"",(B2-D2)/E2)</f>
        <v>1</v>
      </c>
      <c r="G2" s="16">
        <f t="shared" ref="G2:G5" si="1">IF(E2=0,"",IF((B2-D2)/E2&gt;=0.75,0,MAX(0,_xlfn.CEILING.MATH((0.75*E2 - B2 + D2)/0.25,1))))</f>
        <v>0</v>
      </c>
      <c r="H2" s="5"/>
      <c r="I2" s="5"/>
      <c r="J2" s="5"/>
    </row>
    <row r="3" spans="1:10" x14ac:dyDescent="0.25">
      <c r="A3" s="6" t="s">
        <v>7</v>
      </c>
      <c r="B3" s="7">
        <v>1</v>
      </c>
      <c r="C3" s="7"/>
      <c r="D3" s="7"/>
      <c r="E3" s="7">
        <f t="shared" si="0"/>
        <v>1</v>
      </c>
      <c r="F3" s="8">
        <f>IF(E3=0,"",(B3-D3)/E3)</f>
        <v>1</v>
      </c>
      <c r="G3" s="17">
        <f t="shared" si="1"/>
        <v>0</v>
      </c>
      <c r="H3" s="5"/>
      <c r="I3" s="5"/>
      <c r="J3" s="5"/>
    </row>
    <row r="4" spans="1:10" x14ac:dyDescent="0.25">
      <c r="A4" s="6" t="s">
        <v>8</v>
      </c>
      <c r="B4" s="7">
        <v>1</v>
      </c>
      <c r="C4" s="7"/>
      <c r="D4" s="7"/>
      <c r="E4" s="7">
        <f t="shared" si="0"/>
        <v>1</v>
      </c>
      <c r="F4" s="8">
        <f t="shared" ref="F2:F5" si="2">IF(E4=0,"",(B4-D4)/E4)</f>
        <v>1</v>
      </c>
      <c r="G4" s="17">
        <f t="shared" si="1"/>
        <v>0</v>
      </c>
      <c r="H4" s="5"/>
      <c r="I4" s="5"/>
      <c r="J4" s="5"/>
    </row>
    <row r="5" spans="1:10" ht="15.75" thickBot="1" x14ac:dyDescent="0.3">
      <c r="A5" s="9" t="s">
        <v>9</v>
      </c>
      <c r="B5" s="10">
        <v>1</v>
      </c>
      <c r="C5" s="10"/>
      <c r="D5" s="10"/>
      <c r="E5" s="10">
        <f t="shared" si="0"/>
        <v>1</v>
      </c>
      <c r="F5" s="11">
        <f t="shared" si="2"/>
        <v>1</v>
      </c>
      <c r="G5" s="18">
        <f t="shared" si="1"/>
        <v>0</v>
      </c>
      <c r="H5" s="5"/>
      <c r="I5" s="5"/>
      <c r="J5" s="5"/>
    </row>
    <row r="6" spans="1:10" ht="15.75" thickTop="1" x14ac:dyDescent="0.25"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5"/>
      <c r="H6" s="5"/>
      <c r="I6" s="5"/>
      <c r="J6" s="5"/>
    </row>
    <row r="7" spans="1:10" x14ac:dyDescent="0.25">
      <c r="B7" s="21">
        <f>SUM(B2:B5)</f>
        <v>4</v>
      </c>
      <c r="C7" s="21">
        <f>SUM(C2:C5)</f>
        <v>0</v>
      </c>
      <c r="D7" s="21">
        <f>SUM(D2:D5)</f>
        <v>0</v>
      </c>
      <c r="E7" s="22">
        <f>SUM(E2:E5)</f>
        <v>4</v>
      </c>
      <c r="F7" s="12">
        <f>IF(E7=0,"",(B7-D7)/E7)</f>
        <v>1</v>
      </c>
      <c r="G7" s="5"/>
      <c r="H7" s="5"/>
      <c r="I7" s="5"/>
      <c r="J7" s="5"/>
    </row>
    <row r="8" spans="1:10" ht="15.75" thickBot="1" x14ac:dyDescent="0.3">
      <c r="F8" s="5"/>
      <c r="G8" s="5"/>
      <c r="H8" s="5"/>
      <c r="I8" s="5"/>
      <c r="J8" s="5"/>
    </row>
    <row r="9" spans="1:10" ht="15.75" thickBot="1" x14ac:dyDescent="0.3">
      <c r="F9" s="19" t="s">
        <v>16</v>
      </c>
      <c r="G9" s="20">
        <f>IF(E7=0,"",MIN(1,(F7/0.75)))</f>
        <v>1</v>
      </c>
      <c r="H9" s="5"/>
      <c r="I9" s="5"/>
      <c r="J9" s="5"/>
    </row>
    <row r="10" spans="1:10" x14ac:dyDescent="0.25">
      <c r="F10" s="5"/>
      <c r="G10" s="5"/>
      <c r="H10" s="5"/>
      <c r="I10" s="5"/>
      <c r="J10" s="5"/>
    </row>
    <row r="11" spans="1:10" x14ac:dyDescent="0.25">
      <c r="G11" s="5"/>
      <c r="H11" s="5"/>
      <c r="I11" s="5"/>
      <c r="J11" s="5"/>
    </row>
  </sheetData>
  <conditionalFormatting sqref="F2:F5">
    <cfRule type="expression" dxfId="13" priority="6">
      <formula>F2&lt;0%</formula>
    </cfRule>
    <cfRule type="expression" dxfId="12" priority="7">
      <formula>AND(F2&gt;=0,F2&lt;75%)</formula>
    </cfRule>
    <cfRule type="expression" dxfId="11" priority="9">
      <formula>F2&gt;=75%</formula>
    </cfRule>
  </conditionalFormatting>
  <conditionalFormatting sqref="F7">
    <cfRule type="expression" dxfId="10" priority="4">
      <formula>F7&lt;0%</formula>
    </cfRule>
    <cfRule type="expression" dxfId="9" priority="5">
      <formula>AND(F7&gt;=0%,F7&lt;75%)</formula>
    </cfRule>
    <cfRule type="expression" dxfId="8" priority="8">
      <formula>F7&gt;=75%</formula>
    </cfRule>
  </conditionalFormatting>
  <conditionalFormatting sqref="G9">
    <cfRule type="expression" dxfId="6" priority="3">
      <formula>G9&gt;=75%</formula>
    </cfRule>
    <cfRule type="expression" dxfId="7" priority="2">
      <formula>AND(G9&lt;75%,G9&gt;=0)</formula>
    </cfRule>
    <cfRule type="expression" dxfId="5" priority="1">
      <formula>G9&lt;0%</formula>
    </cfRule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Jay</cp:lastModifiedBy>
  <dcterms:created xsi:type="dcterms:W3CDTF">2025-10-08T12:46:00Z</dcterms:created>
  <dcterms:modified xsi:type="dcterms:W3CDTF">2025-10-27T16:19:38Z</dcterms:modified>
</cp:coreProperties>
</file>